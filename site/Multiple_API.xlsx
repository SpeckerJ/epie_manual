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j_c_specker_uva_nl/Documents/Postdoc/PREMIER/epie_manual_python/docs/"/>
    </mc:Choice>
  </mc:AlternateContent>
  <xr:revisionPtr revIDLastSave="9" documentId="13_ncr:1_{05B5607D-37E5-4D42-948A-21799047F5FE}" xr6:coauthVersionLast="47" xr6:coauthVersionMax="47" xr10:uidLastSave="{EBA53079-1249-4A38-ACE7-E3DFEFDC03CF}"/>
  <bookViews>
    <workbookView xWindow="28680" yWindow="-120" windowWidth="29040" windowHeight="15720" xr2:uid="{00000000-000D-0000-FFFF-FFFF00000000}"/>
  </bookViews>
  <sheets>
    <sheet name="data" sheetId="1" r:id="rId1"/>
    <sheet name="me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E4" i="1"/>
  <c r="F4" i="1"/>
  <c r="G4" i="1"/>
  <c r="J4" i="1"/>
  <c r="N4" i="1"/>
  <c r="P4" i="1"/>
  <c r="T4" i="1"/>
  <c r="X4" i="1"/>
  <c r="AF4" i="1"/>
  <c r="AF3" i="1"/>
  <c r="T3" i="1"/>
  <c r="J3" i="1"/>
  <c r="G3" i="1"/>
  <c r="N3" i="1"/>
  <c r="F3" i="1"/>
</calcChain>
</file>

<file path=xl/sharedStrings.xml><?xml version="1.0" encoding="utf-8"?>
<sst xmlns="http://schemas.openxmlformats.org/spreadsheetml/2006/main" count="323" uniqueCount="162">
  <si>
    <t>API</t>
  </si>
  <si>
    <t>Acetaminophen</t>
  </si>
  <si>
    <t>103-90-2</t>
  </si>
  <si>
    <t>acid</t>
  </si>
  <si>
    <t>NA</t>
  </si>
  <si>
    <t>Diclofenac</t>
  </si>
  <si>
    <t>15307-86-5</t>
  </si>
  <si>
    <t>Ibuprofen</t>
  </si>
  <si>
    <t>15687-27-1</t>
  </si>
  <si>
    <t>CAS</t>
  </si>
  <si>
    <t>-</t>
  </si>
  <si>
    <t>class</t>
  </si>
  <si>
    <t>MW</t>
  </si>
  <si>
    <t>KOW_n</t>
  </si>
  <si>
    <t>Pv</t>
  </si>
  <si>
    <t>S</t>
  </si>
  <si>
    <t>pKa</t>
  </si>
  <si>
    <t>metab</t>
  </si>
  <si>
    <t>API_metab</t>
  </si>
  <si>
    <t>Kp_ps_n</t>
  </si>
  <si>
    <t>Kp_ps_alt</t>
  </si>
  <si>
    <t>Kp_as_n</t>
  </si>
  <si>
    <t>Kp_as_alt</t>
  </si>
  <si>
    <t>Kp_susp_n</t>
  </si>
  <si>
    <t>Kp_susp_alt</t>
  </si>
  <si>
    <t>Kp_DOC_n</t>
  </si>
  <si>
    <t>Kp_DOC_alt</t>
  </si>
  <si>
    <t>Kp_sd_n</t>
  </si>
  <si>
    <t>Kp_sd_alt</t>
  </si>
  <si>
    <t>KOC_n</t>
  </si>
  <si>
    <t>KOC_alt</t>
  </si>
  <si>
    <t>k_bio_sw1_n</t>
  </si>
  <si>
    <t>T_bio_sw_n</t>
  </si>
  <si>
    <t>k_bio_sw1_alt</t>
  </si>
  <si>
    <t>T_bio_sw_alt</t>
  </si>
  <si>
    <t>k_bio_sd1_n</t>
  </si>
  <si>
    <t>T_bio_sd_n</t>
  </si>
  <si>
    <t>k_bio_sd1_alt</t>
  </si>
  <si>
    <t>T_bio_sd_alt</t>
  </si>
  <si>
    <t>k_hydro_sw_n</t>
  </si>
  <si>
    <t>T_hydro_sw_n</t>
  </si>
  <si>
    <t>k_hydro_sw_alt</t>
  </si>
  <si>
    <t>T_hydro_sw_alt</t>
  </si>
  <si>
    <t>k_hydro_sd_n</t>
  </si>
  <si>
    <t>T_hydro_sd_n</t>
  </si>
  <si>
    <t>k_hydro_sd_alt</t>
  </si>
  <si>
    <t>T_hydro_sd_alt</t>
  </si>
  <si>
    <t>lambda_solar_n</t>
  </si>
  <si>
    <t>k_photo12_sw_n</t>
  </si>
  <si>
    <t>T_photo12_sw_n</t>
  </si>
  <si>
    <t>lambda_solar_alt</t>
  </si>
  <si>
    <t>k_photo12_sw_alt</t>
  </si>
  <si>
    <t>T_photo12_sw_alt</t>
  </si>
  <si>
    <t>custom_wwtp_primary_removal</t>
  </si>
  <si>
    <t>custom_wwtp_secondary_removal</t>
  </si>
  <si>
    <t>custom_wwtp_N_removal</t>
  </si>
  <si>
    <t>custom_wwtp_P_removal</t>
  </si>
  <si>
    <t>custom_wwtp_UV_removal</t>
  </si>
  <si>
    <t>custom_wwtp_Cl_removal</t>
  </si>
  <si>
    <t>custom_wwtp_O3_removal</t>
  </si>
  <si>
    <t>custom_wwtp_sandfilter_removal</t>
  </si>
  <si>
    <t>custom_wwtp_microfilter_removal</t>
  </si>
  <si>
    <t>Column</t>
  </si>
  <si>
    <t>Example</t>
  </si>
  <si>
    <t>Description</t>
  </si>
  <si>
    <t>Name of the active pharmaceutical ingredient (API)</t>
  </si>
  <si>
    <t>CAS number</t>
  </si>
  <si>
    <t>Chemical class of the API (neutral/acid/base)</t>
  </si>
  <si>
    <t>Molecular weight  (for APIs that are salts: preferably enter molecular weight of free acid/base)</t>
  </si>
  <si>
    <t>Octanol/water partitioning coefficient of the neutral form</t>
  </si>
  <si>
    <t>Vapour pressure at 25 °C</t>
  </si>
  <si>
    <t>Solubility in water at 25 °C</t>
  </si>
  <si>
    <t>Acid dissociation coefficient</t>
  </si>
  <si>
    <t>Name of the prodrug</t>
  </si>
  <si>
    <t>Fraction of the administered prodrug egested as the API of interest or as its reversible conjugates via urine/faeces (-)</t>
  </si>
  <si>
    <t>Sewage-solids water partitioning coefficient of neutral form</t>
  </si>
  <si>
    <t>Sewage-solids water partitioning coefficient of alternate form</t>
  </si>
  <si>
    <t>Activated sludge-solids water partitioning coefficient of neutral form</t>
  </si>
  <si>
    <t>Activated sludge-solids water partitioning coefficient of alternate form</t>
  </si>
  <si>
    <t>Suspended matter-solids water partitioning coefficient of neutral form</t>
  </si>
  <si>
    <t>Suspended matter-solids water partitioning coefficient of alternate form</t>
  </si>
  <si>
    <t>Dissolved organic carbon water partitioning coefficient of neutral form</t>
  </si>
  <si>
    <t>Dissolved organic carbon water partitioning coefficient of alternate form</t>
  </si>
  <si>
    <t>Sediment-solids water partitioning coefficient of neutral form</t>
  </si>
  <si>
    <t>Sediment-solids water partitioning coefficient of alternate form</t>
  </si>
  <si>
    <t>Organic carbon water partitioning coefficient of neutral form of neutral form</t>
  </si>
  <si>
    <t>Organic carbon water partitioning coefficient of alternate form of alternate form</t>
  </si>
  <si>
    <t>First order biodegradation rate constant secondary treatment of neutral form</t>
  </si>
  <si>
    <t>Pseudo-first order experimental biodegradation rate constant in surface water of neutral form</t>
  </si>
  <si>
    <t>Temperature at which kbio in surface water was derived of neutral form</t>
  </si>
  <si>
    <t>Pseudo-first order experimental biodegradation rate constant in surface water of alternate form</t>
  </si>
  <si>
    <t>Temperature at which kbio in surface water was derived of alternate form</t>
  </si>
  <si>
    <t>Pseudo-first order experimental biodegradation rate constant in sediment of neutral form</t>
  </si>
  <si>
    <t>Temperature at which kbio in sediment was derived of neutral form</t>
  </si>
  <si>
    <t>Pseudo-first order experimental biodegradation rate constant in sediment of alternate form</t>
  </si>
  <si>
    <t>Temperature at which kbio in sediment was derived of alternate form</t>
  </si>
  <si>
    <t>First order experimental hydrolysis rate constant in surface water of neutral form</t>
  </si>
  <si>
    <t>Temperature at which khydro in surface water was derived of neutral form</t>
  </si>
  <si>
    <t>First order experimental hydrolysis rate constant in surface water of alternate form</t>
  </si>
  <si>
    <t>Temperature at which khydro in surface water was derived of alternate form</t>
  </si>
  <si>
    <t>First order experimental hydrolysis rate constant in sediment of neutral form</t>
  </si>
  <si>
    <t>Temperature at which khydro in sediment was derived of neutral form</t>
  </si>
  <si>
    <t>First order experimental hydrolysis rate constant in sediment of alternate form</t>
  </si>
  <si>
    <t>Temperature at which khydro in sediment was derived of alternate form</t>
  </si>
  <si>
    <t>Maximum absorption wavelength for solar radiation of neutral form</t>
  </si>
  <si>
    <t>Pseudo-first order experimental photolysis rate constant in surface water of neutral form</t>
  </si>
  <si>
    <t>Temperature at which kphoto in surface water was derived of neutral form</t>
  </si>
  <si>
    <t>Maximum absorption wavelength for solar radiation of alternate form</t>
  </si>
  <si>
    <t>Pseudo-first order experimental photolysis rate constant in surface water of alternate form</t>
  </si>
  <si>
    <t>Temperature at which kphoto in surface water was derived of alternate form</t>
  </si>
  <si>
    <t>Overwrite SimpleTreat 4.0 primary removal fraction</t>
  </si>
  <si>
    <t>Overwrite SimpleTreat 4.0 secondary removal fraction</t>
  </si>
  <si>
    <t>Units</t>
  </si>
  <si>
    <t>g/mol</t>
  </si>
  <si>
    <t>Pa</t>
  </si>
  <si>
    <t>mg/L</t>
  </si>
  <si>
    <t>Lwater/kgsolids</t>
  </si>
  <si>
    <t>s-1</t>
  </si>
  <si>
    <t>K</t>
  </si>
  <si>
    <t>nm</t>
  </si>
  <si>
    <t>Parameter used for…</t>
  </si>
  <si>
    <t>Not used in calculations, only for labelling/identification</t>
  </si>
  <si>
    <t>Used to estmiate fractions of the neutral and alternate forms of the API</t>
  </si>
  <si>
    <t>Used for calculating volatilization</t>
  </si>
  <si>
    <t>Used for predicting partitioning behavior of the API</t>
  </si>
  <si>
    <t>Used to calculate amount of substance emitted to the sewer</t>
  </si>
  <si>
    <t>Basic input parameter used to calculate substance concentrations</t>
  </si>
  <si>
    <t>Used for labelling if the substance is a prodrug. Only put a name here if you are running the model for a prodrug; leave empty otherwise.</t>
  </si>
  <si>
    <t>Used to derive the amount of API from the yearly consumption if this consumption relates to the prodrug. Only put a number here if the yearly consumption applies to prodrug!</t>
  </si>
  <si>
    <t>Used to estimate chemical removal in WWTPs</t>
  </si>
  <si>
    <t>Used to derive the fraction of API present as dissolved chemical in the water column</t>
  </si>
  <si>
    <t>Used to derive the fraction of API present as dissolved chemical in the upper sediment layer</t>
  </si>
  <si>
    <t>Used to derive the partitioning coefficient between solids and water for the neutral form</t>
  </si>
  <si>
    <t>Used to derive the partitioning coefficient between solids and water for the alternate form</t>
  </si>
  <si>
    <t>Used to estimate biodegradation of neutral form in surface water</t>
  </si>
  <si>
    <t>Used to correct biodegradation rate of the neutral form in surface water to local temperature</t>
  </si>
  <si>
    <t>Used to estimate biodegradation of alternate form in surface water</t>
  </si>
  <si>
    <t>Used to correct biodegradation rate of the alternate form in surface water to local temperature</t>
  </si>
  <si>
    <t>Used to estimate biodegradation of neutral form in sediment</t>
  </si>
  <si>
    <t>Used to correct biodegradation rate of the neutral form in sediment to local temperature</t>
  </si>
  <si>
    <t>Used to estimate biodegradation of alternate form in sediment</t>
  </si>
  <si>
    <t>Used to correct biodegradation rate of the alternate form in sediment to local temperature</t>
  </si>
  <si>
    <t>Used to estimate hydrolysis of neutral form in surface water</t>
  </si>
  <si>
    <t>Used to correct hydrolysis rate of the neutral form in surface water to local temperature</t>
  </si>
  <si>
    <t>Used to estimate hydrolysis of alternate form in surface water</t>
  </si>
  <si>
    <t>Used to correct hydrolysis rate of the alternate form in surface water to local temperature</t>
  </si>
  <si>
    <t>Used to estimate hydrolysis of neutral form in sediment</t>
  </si>
  <si>
    <t>Used to correct hydrolysis rate of the neutral form in sediment to local temperature</t>
  </si>
  <si>
    <t>Used to estimate hydrolysis of alternate form in sediment</t>
  </si>
  <si>
    <t>Used to correct hydrolysis rate of the alternate form in sediment to local temperature</t>
  </si>
  <si>
    <t>Used to correct photolysis of the neutral form based on local water depth</t>
  </si>
  <si>
    <t>Used to derive the pseudo-first order photolysis rate constant in surface water of neutral form adapted to local conditions</t>
  </si>
  <si>
    <t>Used to correct photolysis rate of the neutral form in surface water to local temperature</t>
  </si>
  <si>
    <t>Used to correct photolysis of the alternate form based on local water depth</t>
  </si>
  <si>
    <t>Used to derive the pseudo-first order photolysis rate constant in surface water of alternate form adapted to local conditions</t>
  </si>
  <si>
    <t>Used to correct photolysis rate of the alternate form in surface water to local temperature</t>
  </si>
  <si>
    <t>Overwrite SimpleTreat 4.0 with custom primary removal fraction</t>
  </si>
  <si>
    <t>Overwrite SimpleTreat 4.0 with custom secondary removal fraction</t>
  </si>
  <si>
    <t>f_uf</t>
  </si>
  <si>
    <t>Fraction of dose excreted unchanged via urine and faeces</t>
  </si>
  <si>
    <t>k_bio_wwtp</t>
  </si>
  <si>
    <t>k_bio_wwtp_n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</si>
</sst>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1"/>
    <xf numFmtId="0" fontId="1" fillId="0" borderId="0" xfId="1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Normal 2" xfId="1" xr:uid="{5D3BBD70-14D9-40A2-B027-850EC58BA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4"/>
  <sheetViews>
    <sheetView tabSelected="1" zoomScale="106" zoomScaleNormal="106" workbookViewId="0">
      <selection activeCell="J1" sqref="J1"/>
    </sheetView>
  </sheetViews>
  <sheetFormatPr defaultRowHeight="14.4" x14ac:dyDescent="0.3"/>
  <cols>
    <col min="1" max="1" width="18.5546875" customWidth="1"/>
    <col min="2" max="2" width="11.44140625" bestFit="1" customWidth="1"/>
    <col min="3" max="3" width="12.21875" customWidth="1"/>
    <col min="4" max="4" width="14.77734375" customWidth="1"/>
    <col min="5" max="5" width="17.21875" customWidth="1"/>
    <col min="6" max="6" width="14.21875" customWidth="1"/>
    <col min="7" max="7" width="13.21875" customWidth="1"/>
    <col min="8" max="8" width="12" customWidth="1"/>
    <col min="9" max="9" width="9.21875" bestFit="1" customWidth="1"/>
    <col min="10" max="11" width="15.44140625" customWidth="1"/>
    <col min="12" max="12" width="13.21875" customWidth="1"/>
    <col min="13" max="13" width="14.77734375" customWidth="1"/>
    <col min="14" max="14" width="11.77734375" customWidth="1"/>
    <col min="15" max="15" width="13" customWidth="1"/>
    <col min="16" max="16" width="16.5546875" customWidth="1"/>
    <col min="17" max="17" width="13.44140625" customWidth="1"/>
    <col min="18" max="18" width="18.44140625" customWidth="1"/>
    <col min="19" max="19" width="15.21875" customWidth="1"/>
    <col min="20" max="20" width="12.77734375" bestFit="1" customWidth="1"/>
    <col min="21" max="21" width="9.21875" bestFit="1" customWidth="1"/>
    <col min="22" max="22" width="12.77734375" bestFit="1" customWidth="1"/>
    <col min="23" max="23" width="9.21875" bestFit="1" customWidth="1"/>
    <col min="24" max="24" width="16" customWidth="1"/>
    <col min="25" max="25" width="9.21875" bestFit="1" customWidth="1"/>
    <col min="26" max="26" width="12.77734375" bestFit="1" customWidth="1"/>
    <col min="27" max="28" width="9.21875" bestFit="1" customWidth="1"/>
    <col min="29" max="29" width="11.77734375" bestFit="1" customWidth="1"/>
    <col min="30" max="31" width="9.21875" bestFit="1" customWidth="1"/>
    <col min="32" max="32" width="12.77734375" bestFit="1" customWidth="1"/>
    <col min="33" max="33" width="17.21875" bestFit="1" customWidth="1"/>
    <col min="36" max="41" width="9.21875" bestFit="1" customWidth="1"/>
    <col min="42" max="42" width="29.5546875" customWidth="1"/>
  </cols>
  <sheetData>
    <row r="1" spans="1:129" x14ac:dyDescent="0.3">
      <c r="A1" s="6" t="s">
        <v>0</v>
      </c>
      <c r="B1" s="6" t="s">
        <v>9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158</v>
      </c>
      <c r="J1" s="7" t="s">
        <v>161</v>
      </c>
      <c r="K1" s="9" t="s">
        <v>18</v>
      </c>
      <c r="L1" s="9" t="s">
        <v>19</v>
      </c>
      <c r="M1" s="9" t="s">
        <v>20</v>
      </c>
      <c r="N1" s="9" t="s">
        <v>21</v>
      </c>
      <c r="O1" s="9" t="s">
        <v>22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  <c r="W1" s="9" t="s">
        <v>34</v>
      </c>
      <c r="X1" s="9" t="s">
        <v>39</v>
      </c>
      <c r="Y1" s="9" t="s">
        <v>40</v>
      </c>
      <c r="Z1" s="9" t="s">
        <v>41</v>
      </c>
      <c r="AA1" s="9" t="s">
        <v>42</v>
      </c>
      <c r="AB1" s="9" t="s">
        <v>47</v>
      </c>
      <c r="AC1" s="9" t="s">
        <v>48</v>
      </c>
      <c r="AD1" s="9" t="s">
        <v>49</v>
      </c>
      <c r="AE1" s="9" t="s">
        <v>50</v>
      </c>
      <c r="AF1" s="9" t="s">
        <v>51</v>
      </c>
      <c r="AG1" s="9" t="s">
        <v>52</v>
      </c>
      <c r="AH1" s="8" t="s">
        <v>53</v>
      </c>
      <c r="AI1" s="8" t="s">
        <v>54</v>
      </c>
      <c r="AJ1" s="8" t="s">
        <v>55</v>
      </c>
      <c r="AK1" s="8" t="s">
        <v>56</v>
      </c>
      <c r="AL1" s="8" t="s">
        <v>57</v>
      </c>
      <c r="AM1" s="8" t="s">
        <v>58</v>
      </c>
      <c r="AN1" s="8" t="s">
        <v>59</v>
      </c>
      <c r="AO1" s="8" t="s">
        <v>60</v>
      </c>
      <c r="AP1" s="8" t="s">
        <v>61</v>
      </c>
    </row>
    <row r="2" spans="1:129" s="2" customFormat="1" x14ac:dyDescent="0.3">
      <c r="A2" t="s">
        <v>7</v>
      </c>
      <c r="B2" t="s">
        <v>8</v>
      </c>
      <c r="C2" t="s">
        <v>3</v>
      </c>
      <c r="D2">
        <v>206.2808</v>
      </c>
      <c r="E2">
        <v>9332.5429999999997</v>
      </c>
      <c r="F2">
        <v>2.4799999999999999E-2</v>
      </c>
      <c r="G2">
        <v>21</v>
      </c>
      <c r="H2">
        <v>4.8499999999999996</v>
      </c>
      <c r="I2">
        <v>0.2</v>
      </c>
      <c r="J2">
        <v>1.9715800000000001E-4</v>
      </c>
      <c r="K2" t="s">
        <v>4</v>
      </c>
      <c r="L2">
        <v>10.77399</v>
      </c>
      <c r="M2">
        <v>10.77399</v>
      </c>
      <c r="N2">
        <v>200.01580000000001</v>
      </c>
      <c r="O2">
        <v>200.01580000000001</v>
      </c>
      <c r="P2">
        <v>14.97686624</v>
      </c>
      <c r="Q2">
        <v>14.97686624</v>
      </c>
      <c r="R2">
        <v>1793.90731090694</v>
      </c>
      <c r="S2">
        <v>94.776354517392903</v>
      </c>
      <c r="T2">
        <v>8.2699999999999998E-7</v>
      </c>
      <c r="U2">
        <v>293.14999999999998</v>
      </c>
      <c r="V2">
        <v>8.2699999999999998E-7</v>
      </c>
      <c r="W2">
        <v>293.14999999999998</v>
      </c>
      <c r="X2">
        <v>2.3099999999999999E-7</v>
      </c>
      <c r="Y2">
        <v>293.14999999999998</v>
      </c>
      <c r="Z2">
        <v>2.3099999999999999E-7</v>
      </c>
      <c r="AA2">
        <v>293.14999999999998</v>
      </c>
      <c r="AB2">
        <v>265</v>
      </c>
      <c r="AC2">
        <v>3.8500000000000004E-6</v>
      </c>
      <c r="AD2">
        <v>293.14999999999998</v>
      </c>
      <c r="AE2">
        <v>265</v>
      </c>
      <c r="AF2">
        <v>3.8500000000000004E-6</v>
      </c>
      <c r="AG2">
        <v>293.14999999999998</v>
      </c>
      <c r="AH2" t="s">
        <v>4</v>
      </c>
      <c r="AI2" t="s">
        <v>4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</row>
    <row r="3" spans="1:129" x14ac:dyDescent="0.3">
      <c r="A3" t="s">
        <v>1</v>
      </c>
      <c r="B3" t="s">
        <v>2</v>
      </c>
      <c r="C3" t="s">
        <v>3</v>
      </c>
      <c r="D3">
        <v>151.16</v>
      </c>
      <c r="E3">
        <v>1.86</v>
      </c>
      <c r="F3">
        <f>2.59*10^-4</f>
        <v>2.5900000000000001E-4</v>
      </c>
      <c r="G3">
        <f>1.4*10^4</f>
        <v>14000</v>
      </c>
      <c r="H3">
        <v>9.4600000000000009</v>
      </c>
      <c r="I3">
        <v>0.52</v>
      </c>
      <c r="J3">
        <f>5.01*10^-4</f>
        <v>5.0100000000000003E-4</v>
      </c>
      <c r="K3" t="s">
        <v>4</v>
      </c>
      <c r="L3">
        <f>5.11*10^1</f>
        <v>51.1</v>
      </c>
      <c r="M3" t="s">
        <v>4</v>
      </c>
      <c r="N3">
        <f>3.15*10^2</f>
        <v>315</v>
      </c>
      <c r="O3" t="s">
        <v>4</v>
      </c>
      <c r="P3">
        <v>3.27</v>
      </c>
      <c r="Q3" t="s">
        <v>4</v>
      </c>
      <c r="R3" t="s">
        <v>4</v>
      </c>
      <c r="S3" t="s">
        <v>4</v>
      </c>
      <c r="T3">
        <f>8.36*10^-6</f>
        <v>8.3599999999999996E-6</v>
      </c>
      <c r="U3" t="s">
        <v>4</v>
      </c>
      <c r="V3" t="s">
        <v>4</v>
      </c>
      <c r="W3" t="s">
        <v>4</v>
      </c>
      <c r="X3">
        <v>0</v>
      </c>
      <c r="Y3" t="s">
        <v>4</v>
      </c>
      <c r="Z3" t="s">
        <v>4</v>
      </c>
      <c r="AA3" t="s">
        <v>4</v>
      </c>
      <c r="AB3">
        <v>250</v>
      </c>
      <c r="AC3" t="s">
        <v>4</v>
      </c>
      <c r="AD3" t="s">
        <v>4</v>
      </c>
      <c r="AE3" t="s">
        <v>4</v>
      </c>
      <c r="AF3">
        <f>4.55*10^-6</f>
        <v>4.5499999999999996E-6</v>
      </c>
      <c r="AG3" t="s">
        <v>4</v>
      </c>
      <c r="AH3" t="s">
        <v>4</v>
      </c>
      <c r="AI3" t="s">
        <v>4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129" x14ac:dyDescent="0.3">
      <c r="A4" t="s">
        <v>5</v>
      </c>
      <c r="B4" t="s">
        <v>6</v>
      </c>
      <c r="C4" t="s">
        <v>3</v>
      </c>
      <c r="D4">
        <v>296.14999999999998</v>
      </c>
      <c r="E4">
        <f>3.24*10^4</f>
        <v>32400.000000000004</v>
      </c>
      <c r="F4">
        <f>8.19*10^-6</f>
        <v>8.1899999999999995E-6</v>
      </c>
      <c r="G4">
        <f>2.37</f>
        <v>2.37</v>
      </c>
      <c r="H4">
        <v>4.1500000000000004</v>
      </c>
      <c r="I4">
        <v>0.06</v>
      </c>
      <c r="J4">
        <f>1.41*10^-5</f>
        <v>1.4100000000000001E-5</v>
      </c>
      <c r="K4" t="s">
        <v>4</v>
      </c>
      <c r="L4">
        <f>2.42*10^2</f>
        <v>242</v>
      </c>
      <c r="M4" t="s">
        <v>4</v>
      </c>
      <c r="N4">
        <f>2.16*10^2</f>
        <v>216</v>
      </c>
      <c r="O4" t="s">
        <v>4</v>
      </c>
      <c r="P4">
        <f>2.94*10^1</f>
        <v>29.4</v>
      </c>
      <c r="Q4" t="s">
        <v>4</v>
      </c>
      <c r="R4" t="s">
        <v>4</v>
      </c>
      <c r="S4" t="s">
        <v>4</v>
      </c>
      <c r="T4">
        <f>8.28*10^-8</f>
        <v>8.28E-8</v>
      </c>
      <c r="U4" t="s">
        <v>4</v>
      </c>
      <c r="V4" t="s">
        <v>4</v>
      </c>
      <c r="W4" t="s">
        <v>4</v>
      </c>
      <c r="X4">
        <f>1.16*10^-8</f>
        <v>1.16E-8</v>
      </c>
      <c r="Y4" t="s">
        <v>4</v>
      </c>
      <c r="Z4" t="s">
        <v>4</v>
      </c>
      <c r="AA4" t="s">
        <v>4</v>
      </c>
      <c r="AB4">
        <v>275</v>
      </c>
      <c r="AC4" t="s">
        <v>4</v>
      </c>
      <c r="AD4" t="s">
        <v>4</v>
      </c>
      <c r="AE4" t="s">
        <v>4</v>
      </c>
      <c r="AF4">
        <f>4.84*10^-4</f>
        <v>4.84E-4</v>
      </c>
      <c r="AG4" t="s">
        <v>4</v>
      </c>
      <c r="AH4" t="s">
        <v>4</v>
      </c>
      <c r="AI4" t="s">
        <v>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D03D-1BC4-47C3-84CA-FE6834F0384C}">
  <dimension ref="A1:E65"/>
  <sheetViews>
    <sheetView workbookViewId="0">
      <selection activeCell="A13" sqref="A13"/>
    </sheetView>
  </sheetViews>
  <sheetFormatPr defaultRowHeight="14.4" x14ac:dyDescent="0.3"/>
  <cols>
    <col min="1" max="1" width="32.77734375" bestFit="1" customWidth="1"/>
    <col min="2" max="2" width="12.5546875" customWidth="1"/>
    <col min="3" max="3" width="107.21875" bestFit="1" customWidth="1"/>
    <col min="4" max="4" width="15.21875" customWidth="1"/>
    <col min="5" max="5" width="160.77734375" bestFit="1" customWidth="1"/>
  </cols>
  <sheetData>
    <row r="1" spans="1:5" x14ac:dyDescent="0.3">
      <c r="A1" s="3" t="s">
        <v>62</v>
      </c>
      <c r="B1" s="3" t="s">
        <v>112</v>
      </c>
      <c r="C1" s="3" t="s">
        <v>64</v>
      </c>
      <c r="D1" s="3" t="s">
        <v>63</v>
      </c>
      <c r="E1" s="3" t="s">
        <v>120</v>
      </c>
    </row>
    <row r="2" spans="1:5" x14ac:dyDescent="0.3">
      <c r="A2" s="6" t="s">
        <v>0</v>
      </c>
      <c r="B2" t="s">
        <v>10</v>
      </c>
      <c r="C2" t="s">
        <v>65</v>
      </c>
      <c r="D2" s="4" t="s">
        <v>7</v>
      </c>
      <c r="E2" t="s">
        <v>121</v>
      </c>
    </row>
    <row r="3" spans="1:5" x14ac:dyDescent="0.3">
      <c r="A3" s="6" t="s">
        <v>9</v>
      </c>
      <c r="B3" t="s">
        <v>10</v>
      </c>
      <c r="C3" t="s">
        <v>66</v>
      </c>
      <c r="D3" s="4" t="s">
        <v>8</v>
      </c>
      <c r="E3" t="s">
        <v>121</v>
      </c>
    </row>
    <row r="4" spans="1:5" x14ac:dyDescent="0.3">
      <c r="A4" s="7" t="s">
        <v>11</v>
      </c>
      <c r="B4" t="s">
        <v>10</v>
      </c>
      <c r="C4" t="s">
        <v>67</v>
      </c>
      <c r="D4" s="4" t="s">
        <v>3</v>
      </c>
      <c r="E4" t="s">
        <v>122</v>
      </c>
    </row>
    <row r="5" spans="1:5" x14ac:dyDescent="0.3">
      <c r="A5" s="7" t="s">
        <v>12</v>
      </c>
      <c r="B5" t="s">
        <v>113</v>
      </c>
      <c r="C5" t="s">
        <v>68</v>
      </c>
      <c r="D5" s="4">
        <v>206.2808</v>
      </c>
      <c r="E5" t="s">
        <v>123</v>
      </c>
    </row>
    <row r="6" spans="1:5" x14ac:dyDescent="0.3">
      <c r="A6" s="7" t="s">
        <v>13</v>
      </c>
      <c r="B6" t="s">
        <v>10</v>
      </c>
      <c r="C6" t="s">
        <v>69</v>
      </c>
      <c r="D6" s="4">
        <v>9332.5429999999997</v>
      </c>
      <c r="E6" t="s">
        <v>124</v>
      </c>
    </row>
    <row r="7" spans="1:5" x14ac:dyDescent="0.3">
      <c r="A7" s="7" t="s">
        <v>14</v>
      </c>
      <c r="B7" t="s">
        <v>114</v>
      </c>
      <c r="C7" t="s">
        <v>70</v>
      </c>
      <c r="D7" s="4">
        <v>2.4799999999999999E-2</v>
      </c>
      <c r="E7" t="s">
        <v>123</v>
      </c>
    </row>
    <row r="8" spans="1:5" x14ac:dyDescent="0.3">
      <c r="A8" s="7" t="s">
        <v>15</v>
      </c>
      <c r="B8" t="s">
        <v>115</v>
      </c>
      <c r="C8" t="s">
        <v>71</v>
      </c>
      <c r="D8" s="4">
        <v>21</v>
      </c>
      <c r="E8" t="s">
        <v>123</v>
      </c>
    </row>
    <row r="9" spans="1:5" x14ac:dyDescent="0.3">
      <c r="A9" s="7" t="s">
        <v>16</v>
      </c>
      <c r="B9" t="s">
        <v>10</v>
      </c>
      <c r="C9" t="s">
        <v>72</v>
      </c>
      <c r="D9" s="4">
        <v>4.8499999999999996</v>
      </c>
      <c r="E9" t="s">
        <v>122</v>
      </c>
    </row>
    <row r="10" spans="1:5" x14ac:dyDescent="0.3">
      <c r="A10" s="7" t="s">
        <v>158</v>
      </c>
      <c r="B10" t="s">
        <v>10</v>
      </c>
      <c r="C10" t="s">
        <v>159</v>
      </c>
      <c r="D10" s="4">
        <v>0.2</v>
      </c>
      <c r="E10" t="s">
        <v>125</v>
      </c>
    </row>
    <row r="11" spans="1:5" x14ac:dyDescent="0.3">
      <c r="A11" s="7" t="s">
        <v>160</v>
      </c>
      <c r="B11" t="s">
        <v>117</v>
      </c>
      <c r="C11" t="s">
        <v>87</v>
      </c>
      <c r="D11" s="4">
        <v>1.9715800000000001E-4</v>
      </c>
      <c r="E11" t="s">
        <v>133</v>
      </c>
    </row>
    <row r="12" spans="1:5" x14ac:dyDescent="0.3">
      <c r="A12" t="s">
        <v>17</v>
      </c>
      <c r="B12" t="s">
        <v>10</v>
      </c>
      <c r="C12" t="s">
        <v>74</v>
      </c>
      <c r="D12" s="4">
        <v>0</v>
      </c>
      <c r="E12" t="s">
        <v>126</v>
      </c>
    </row>
    <row r="13" spans="1:5" x14ac:dyDescent="0.3">
      <c r="A13" t="s">
        <v>18</v>
      </c>
      <c r="B13" t="s">
        <v>10</v>
      </c>
      <c r="C13" t="s">
        <v>73</v>
      </c>
      <c r="D13" s="4" t="s">
        <v>4</v>
      </c>
      <c r="E13" t="s">
        <v>127</v>
      </c>
    </row>
    <row r="14" spans="1:5" x14ac:dyDescent="0.3">
      <c r="A14" t="s">
        <v>19</v>
      </c>
      <c r="B14" t="s">
        <v>116</v>
      </c>
      <c r="C14" t="s">
        <v>75</v>
      </c>
      <c r="D14" s="4">
        <v>10.77399</v>
      </c>
      <c r="E14" t="s">
        <v>128</v>
      </c>
    </row>
    <row r="15" spans="1:5" x14ac:dyDescent="0.3">
      <c r="A15" t="s">
        <v>20</v>
      </c>
      <c r="B15" t="s">
        <v>116</v>
      </c>
      <c r="C15" t="s">
        <v>76</v>
      </c>
      <c r="D15" s="4">
        <v>10.77399</v>
      </c>
      <c r="E15" t="s">
        <v>129</v>
      </c>
    </row>
    <row r="16" spans="1:5" x14ac:dyDescent="0.3">
      <c r="A16" t="s">
        <v>21</v>
      </c>
      <c r="B16" t="s">
        <v>116</v>
      </c>
      <c r="C16" t="s">
        <v>77</v>
      </c>
      <c r="D16" s="4">
        <v>200.01580000000001</v>
      </c>
      <c r="E16" t="s">
        <v>129</v>
      </c>
    </row>
    <row r="17" spans="1:5" x14ac:dyDescent="0.3">
      <c r="A17" t="s">
        <v>22</v>
      </c>
      <c r="B17" t="s">
        <v>116</v>
      </c>
      <c r="C17" t="s">
        <v>78</v>
      </c>
      <c r="D17" s="4">
        <v>200.01580000000001</v>
      </c>
      <c r="E17" t="s">
        <v>129</v>
      </c>
    </row>
    <row r="18" spans="1:5" x14ac:dyDescent="0.3">
      <c r="A18" t="s">
        <v>23</v>
      </c>
      <c r="B18" t="s">
        <v>116</v>
      </c>
      <c r="C18" t="s">
        <v>79</v>
      </c>
      <c r="D18" s="4" t="s">
        <v>4</v>
      </c>
      <c r="E18" t="s">
        <v>129</v>
      </c>
    </row>
    <row r="19" spans="1:5" x14ac:dyDescent="0.3">
      <c r="A19" t="s">
        <v>24</v>
      </c>
      <c r="B19" t="s">
        <v>116</v>
      </c>
      <c r="C19" t="s">
        <v>80</v>
      </c>
      <c r="D19" s="4" t="s">
        <v>4</v>
      </c>
      <c r="E19" t="s">
        <v>130</v>
      </c>
    </row>
    <row r="20" spans="1:5" x14ac:dyDescent="0.3">
      <c r="A20" t="s">
        <v>25</v>
      </c>
      <c r="B20" t="s">
        <v>116</v>
      </c>
      <c r="C20" t="s">
        <v>81</v>
      </c>
      <c r="D20" s="4" t="s">
        <v>4</v>
      </c>
      <c r="E20" t="s">
        <v>130</v>
      </c>
    </row>
    <row r="21" spans="1:5" x14ac:dyDescent="0.3">
      <c r="A21" t="s">
        <v>26</v>
      </c>
      <c r="B21" t="s">
        <v>116</v>
      </c>
      <c r="C21" t="s">
        <v>82</v>
      </c>
      <c r="D21" s="4" t="s">
        <v>4</v>
      </c>
      <c r="E21" t="s">
        <v>130</v>
      </c>
    </row>
    <row r="22" spans="1:5" x14ac:dyDescent="0.3">
      <c r="A22" t="s">
        <v>27</v>
      </c>
      <c r="B22" t="s">
        <v>116</v>
      </c>
      <c r="C22" t="s">
        <v>83</v>
      </c>
      <c r="D22" s="4">
        <v>14.97686624</v>
      </c>
      <c r="E22" t="s">
        <v>130</v>
      </c>
    </row>
    <row r="23" spans="1:5" x14ac:dyDescent="0.3">
      <c r="A23" t="s">
        <v>28</v>
      </c>
      <c r="B23" t="s">
        <v>116</v>
      </c>
      <c r="C23" t="s">
        <v>84</v>
      </c>
      <c r="D23" s="4">
        <v>14.97686624</v>
      </c>
      <c r="E23" t="s">
        <v>131</v>
      </c>
    </row>
    <row r="24" spans="1:5" x14ac:dyDescent="0.3">
      <c r="A24" t="s">
        <v>29</v>
      </c>
      <c r="B24" t="s">
        <v>116</v>
      </c>
      <c r="C24" t="s">
        <v>85</v>
      </c>
      <c r="D24" s="4">
        <v>1793.90731090694</v>
      </c>
      <c r="E24" t="s">
        <v>131</v>
      </c>
    </row>
    <row r="25" spans="1:5" x14ac:dyDescent="0.3">
      <c r="A25" t="s">
        <v>30</v>
      </c>
      <c r="B25" t="s">
        <v>116</v>
      </c>
      <c r="C25" t="s">
        <v>86</v>
      </c>
      <c r="D25" s="4">
        <v>94.776354517392903</v>
      </c>
      <c r="E25" t="s">
        <v>132</v>
      </c>
    </row>
    <row r="26" spans="1:5" x14ac:dyDescent="0.3">
      <c r="A26" t="s">
        <v>31</v>
      </c>
      <c r="B26" t="s">
        <v>117</v>
      </c>
      <c r="C26" t="s">
        <v>88</v>
      </c>
      <c r="D26" s="4">
        <v>8.2699999999999998E-7</v>
      </c>
      <c r="E26" t="s">
        <v>129</v>
      </c>
    </row>
    <row r="27" spans="1:5" x14ac:dyDescent="0.3">
      <c r="A27" t="s">
        <v>32</v>
      </c>
      <c r="B27" t="s">
        <v>118</v>
      </c>
      <c r="C27" t="s">
        <v>89</v>
      </c>
      <c r="D27" s="4">
        <v>293.14999999999998</v>
      </c>
      <c r="E27" t="s">
        <v>134</v>
      </c>
    </row>
    <row r="28" spans="1:5" x14ac:dyDescent="0.3">
      <c r="A28" t="s">
        <v>33</v>
      </c>
      <c r="B28" t="s">
        <v>117</v>
      </c>
      <c r="C28" t="s">
        <v>90</v>
      </c>
      <c r="D28" s="4">
        <v>8.2699999999999998E-7</v>
      </c>
      <c r="E28" t="s">
        <v>135</v>
      </c>
    </row>
    <row r="29" spans="1:5" x14ac:dyDescent="0.3">
      <c r="A29" t="s">
        <v>34</v>
      </c>
      <c r="B29" t="s">
        <v>118</v>
      </c>
      <c r="C29" t="s">
        <v>91</v>
      </c>
      <c r="D29" s="4">
        <v>293.14999999999998</v>
      </c>
      <c r="E29" t="s">
        <v>136</v>
      </c>
    </row>
    <row r="30" spans="1:5" x14ac:dyDescent="0.3">
      <c r="A30" t="s">
        <v>35</v>
      </c>
      <c r="B30" t="s">
        <v>117</v>
      </c>
      <c r="C30" t="s">
        <v>92</v>
      </c>
      <c r="D30" s="4" t="s">
        <v>4</v>
      </c>
      <c r="E30" t="s">
        <v>137</v>
      </c>
    </row>
    <row r="31" spans="1:5" x14ac:dyDescent="0.3">
      <c r="A31" t="s">
        <v>36</v>
      </c>
      <c r="B31" t="s">
        <v>118</v>
      </c>
      <c r="C31" t="s">
        <v>93</v>
      </c>
      <c r="D31" s="4">
        <v>293.14999999999998</v>
      </c>
      <c r="E31" t="s">
        <v>138</v>
      </c>
    </row>
    <row r="32" spans="1:5" x14ac:dyDescent="0.3">
      <c r="A32" t="s">
        <v>37</v>
      </c>
      <c r="B32" t="s">
        <v>117</v>
      </c>
      <c r="C32" t="s">
        <v>94</v>
      </c>
      <c r="D32" s="4" t="s">
        <v>4</v>
      </c>
      <c r="E32" t="s">
        <v>139</v>
      </c>
    </row>
    <row r="33" spans="1:5" x14ac:dyDescent="0.3">
      <c r="A33" t="s">
        <v>38</v>
      </c>
      <c r="B33" t="s">
        <v>118</v>
      </c>
      <c r="C33" t="s">
        <v>95</v>
      </c>
      <c r="D33" s="4">
        <v>293.14999999999998</v>
      </c>
      <c r="E33" t="s">
        <v>140</v>
      </c>
    </row>
    <row r="34" spans="1:5" x14ac:dyDescent="0.3">
      <c r="A34" t="s">
        <v>39</v>
      </c>
      <c r="B34" t="s">
        <v>117</v>
      </c>
      <c r="C34" t="s">
        <v>96</v>
      </c>
      <c r="D34" s="4">
        <v>2.3099999999999999E-7</v>
      </c>
      <c r="E34" t="s">
        <v>141</v>
      </c>
    </row>
    <row r="35" spans="1:5" x14ac:dyDescent="0.3">
      <c r="A35" t="s">
        <v>40</v>
      </c>
      <c r="B35" t="s">
        <v>118</v>
      </c>
      <c r="C35" t="s">
        <v>97</v>
      </c>
      <c r="D35" s="4">
        <v>293.14999999999998</v>
      </c>
      <c r="E35" t="s">
        <v>142</v>
      </c>
    </row>
    <row r="36" spans="1:5" x14ac:dyDescent="0.3">
      <c r="A36" t="s">
        <v>41</v>
      </c>
      <c r="B36" t="s">
        <v>117</v>
      </c>
      <c r="C36" t="s">
        <v>98</v>
      </c>
      <c r="D36" s="4">
        <v>2.3099999999999999E-7</v>
      </c>
      <c r="E36" t="s">
        <v>143</v>
      </c>
    </row>
    <row r="37" spans="1:5" x14ac:dyDescent="0.3">
      <c r="A37" t="s">
        <v>42</v>
      </c>
      <c r="B37" t="s">
        <v>118</v>
      </c>
      <c r="C37" t="s">
        <v>99</v>
      </c>
      <c r="D37" s="4">
        <v>293.14999999999998</v>
      </c>
      <c r="E37" t="s">
        <v>144</v>
      </c>
    </row>
    <row r="38" spans="1:5" x14ac:dyDescent="0.3">
      <c r="A38" t="s">
        <v>43</v>
      </c>
      <c r="B38" t="s">
        <v>117</v>
      </c>
      <c r="C38" t="s">
        <v>100</v>
      </c>
      <c r="D38" s="4" t="s">
        <v>4</v>
      </c>
      <c r="E38" t="s">
        <v>145</v>
      </c>
    </row>
    <row r="39" spans="1:5" x14ac:dyDescent="0.3">
      <c r="A39" t="s">
        <v>44</v>
      </c>
      <c r="B39" t="s">
        <v>118</v>
      </c>
      <c r="C39" t="s">
        <v>101</v>
      </c>
      <c r="D39" s="4">
        <v>293.14999999999998</v>
      </c>
      <c r="E39" t="s">
        <v>146</v>
      </c>
    </row>
    <row r="40" spans="1:5" x14ac:dyDescent="0.3">
      <c r="A40" t="s">
        <v>45</v>
      </c>
      <c r="B40" t="s">
        <v>117</v>
      </c>
      <c r="C40" t="s">
        <v>102</v>
      </c>
      <c r="D40" s="4" t="s">
        <v>4</v>
      </c>
      <c r="E40" t="s">
        <v>147</v>
      </c>
    </row>
    <row r="41" spans="1:5" x14ac:dyDescent="0.3">
      <c r="A41" t="s">
        <v>46</v>
      </c>
      <c r="B41" t="s">
        <v>118</v>
      </c>
      <c r="C41" t="s">
        <v>103</v>
      </c>
      <c r="D41" s="4">
        <v>293.14999999999998</v>
      </c>
      <c r="E41" t="s">
        <v>148</v>
      </c>
    </row>
    <row r="42" spans="1:5" x14ac:dyDescent="0.3">
      <c r="A42" t="s">
        <v>47</v>
      </c>
      <c r="B42" t="s">
        <v>119</v>
      </c>
      <c r="C42" t="s">
        <v>104</v>
      </c>
      <c r="D42" s="4">
        <v>265</v>
      </c>
      <c r="E42" t="s">
        <v>149</v>
      </c>
    </row>
    <row r="43" spans="1:5" x14ac:dyDescent="0.3">
      <c r="A43" t="s">
        <v>48</v>
      </c>
      <c r="B43" t="s">
        <v>117</v>
      </c>
      <c r="C43" t="s">
        <v>105</v>
      </c>
      <c r="D43" s="4">
        <v>3.8500000000000004E-6</v>
      </c>
      <c r="E43" t="s">
        <v>150</v>
      </c>
    </row>
    <row r="44" spans="1:5" x14ac:dyDescent="0.3">
      <c r="A44" t="s">
        <v>49</v>
      </c>
      <c r="B44" t="s">
        <v>118</v>
      </c>
      <c r="C44" t="s">
        <v>106</v>
      </c>
      <c r="D44" s="4">
        <v>293.14999999999998</v>
      </c>
      <c r="E44" t="s">
        <v>151</v>
      </c>
    </row>
    <row r="45" spans="1:5" x14ac:dyDescent="0.3">
      <c r="A45" t="s">
        <v>50</v>
      </c>
      <c r="B45" t="s">
        <v>119</v>
      </c>
      <c r="C45" t="s">
        <v>107</v>
      </c>
      <c r="D45" s="4">
        <v>265</v>
      </c>
      <c r="E45" t="s">
        <v>152</v>
      </c>
    </row>
    <row r="46" spans="1:5" x14ac:dyDescent="0.3">
      <c r="A46" t="s">
        <v>51</v>
      </c>
      <c r="B46" t="s">
        <v>117</v>
      </c>
      <c r="C46" t="s">
        <v>108</v>
      </c>
      <c r="D46" s="4">
        <v>3.8500000000000004E-6</v>
      </c>
      <c r="E46" t="s">
        <v>153</v>
      </c>
    </row>
    <row r="47" spans="1:5" x14ac:dyDescent="0.3">
      <c r="A47" t="s">
        <v>52</v>
      </c>
      <c r="B47" t="s">
        <v>118</v>
      </c>
      <c r="C47" t="s">
        <v>109</v>
      </c>
      <c r="D47" s="4">
        <v>293.14999999999998</v>
      </c>
      <c r="E47" t="s">
        <v>154</v>
      </c>
    </row>
    <row r="48" spans="1:5" x14ac:dyDescent="0.3">
      <c r="A48" t="s">
        <v>53</v>
      </c>
      <c r="B48" t="s">
        <v>10</v>
      </c>
      <c r="C48" t="s">
        <v>110</v>
      </c>
      <c r="D48" s="4" t="s">
        <v>4</v>
      </c>
      <c r="E48" t="s">
        <v>155</v>
      </c>
    </row>
    <row r="49" spans="1:5" x14ac:dyDescent="0.3">
      <c r="A49" t="s">
        <v>54</v>
      </c>
      <c r="B49" t="s">
        <v>10</v>
      </c>
      <c r="C49" t="s">
        <v>111</v>
      </c>
      <c r="D49" s="4" t="s">
        <v>4</v>
      </c>
      <c r="E49" t="s">
        <v>156</v>
      </c>
    </row>
    <row r="50" spans="1:5" x14ac:dyDescent="0.3">
      <c r="A50" t="s">
        <v>55</v>
      </c>
      <c r="B50" t="s">
        <v>10</v>
      </c>
      <c r="C50" t="s">
        <v>55</v>
      </c>
      <c r="D50" s="4">
        <v>0</v>
      </c>
      <c r="E50" t="s">
        <v>157</v>
      </c>
    </row>
    <row r="51" spans="1:5" x14ac:dyDescent="0.3">
      <c r="A51" t="s">
        <v>56</v>
      </c>
      <c r="B51" t="s">
        <v>10</v>
      </c>
      <c r="C51" t="s">
        <v>56</v>
      </c>
      <c r="D51" s="4">
        <v>0</v>
      </c>
    </row>
    <row r="52" spans="1:5" x14ac:dyDescent="0.3">
      <c r="A52" t="s">
        <v>57</v>
      </c>
      <c r="B52" t="s">
        <v>10</v>
      </c>
      <c r="C52" t="s">
        <v>57</v>
      </c>
      <c r="D52" s="4">
        <v>0</v>
      </c>
    </row>
    <row r="53" spans="1:5" x14ac:dyDescent="0.3">
      <c r="A53" t="s">
        <v>58</v>
      </c>
      <c r="B53" t="s">
        <v>10</v>
      </c>
      <c r="C53" t="s">
        <v>58</v>
      </c>
      <c r="D53" s="4">
        <v>0</v>
      </c>
    </row>
    <row r="54" spans="1:5" x14ac:dyDescent="0.3">
      <c r="A54" t="s">
        <v>59</v>
      </c>
      <c r="B54" t="s">
        <v>10</v>
      </c>
      <c r="C54" t="s">
        <v>59</v>
      </c>
      <c r="D54" s="4">
        <v>0</v>
      </c>
    </row>
    <row r="55" spans="1:5" x14ac:dyDescent="0.3">
      <c r="A55" t="s">
        <v>60</v>
      </c>
      <c r="B55" t="s">
        <v>10</v>
      </c>
      <c r="C55" t="s">
        <v>60</v>
      </c>
      <c r="D55" s="4">
        <v>0</v>
      </c>
    </row>
    <row r="56" spans="1:5" x14ac:dyDescent="0.3">
      <c r="A56" t="s">
        <v>61</v>
      </c>
      <c r="B56" t="s">
        <v>10</v>
      </c>
      <c r="C56" t="s">
        <v>61</v>
      </c>
      <c r="D56" s="4">
        <v>0</v>
      </c>
    </row>
    <row r="57" spans="1:5" x14ac:dyDescent="0.3">
      <c r="D57" s="4"/>
    </row>
    <row r="58" spans="1:5" x14ac:dyDescent="0.3">
      <c r="D58" s="4"/>
    </row>
    <row r="59" spans="1:5" x14ac:dyDescent="0.3">
      <c r="A59" s="1"/>
      <c r="C59" s="1"/>
      <c r="D59" s="5"/>
    </row>
    <row r="60" spans="1:5" x14ac:dyDescent="0.3">
      <c r="D60" s="4"/>
    </row>
    <row r="61" spans="1:5" x14ac:dyDescent="0.3">
      <c r="A61" s="1"/>
      <c r="D61" s="4"/>
    </row>
    <row r="62" spans="1:5" x14ac:dyDescent="0.3">
      <c r="A62" s="1"/>
      <c r="D62" s="4"/>
    </row>
    <row r="63" spans="1:5" x14ac:dyDescent="0.3">
      <c r="D63" s="4"/>
    </row>
    <row r="64" spans="1:5" x14ac:dyDescent="0.3">
      <c r="D64" s="4"/>
    </row>
    <row r="65" spans="4:4" x14ac:dyDescent="0.3">
      <c r="D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Selwyn Hoeks</dc:creator>
  <cp:lastModifiedBy>Jan Specker</cp:lastModifiedBy>
  <dcterms:created xsi:type="dcterms:W3CDTF">2015-06-05T18:17:20Z</dcterms:created>
  <dcterms:modified xsi:type="dcterms:W3CDTF">2026-09-01T12:45:59Z</dcterms:modified>
</cp:coreProperties>
</file>